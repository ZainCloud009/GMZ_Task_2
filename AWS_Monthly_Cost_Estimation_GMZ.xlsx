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st Breakdown" sheetId="1" state="visible" r:id="rId1"/>
    <sheet name="FinOps Cost 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0F172A"/>
      <sz val="11"/>
    </font>
    <font>
      <name val="Calibri"/>
      <b val="1"/>
      <color rgb="000284C7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284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0" fillId="5" borderId="2" pivotButton="0" quotePrefix="0" xfId="0"/>
    <xf numFmtId="164" fontId="7" fillId="5" borderId="2" applyAlignment="1" pivotButton="0" quotePrefix="0" xfId="0">
      <alignment horizontal="righ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8" customWidth="1" min="3" max="3"/>
    <col width="18" customWidth="1" min="4" max="4"/>
    <col width="16" customWidth="1" min="5" max="5"/>
    <col width="18" customWidth="1" min="6" max="6"/>
    <col width="22" customWidth="1" min="7" max="7"/>
    <col width="44" customWidth="1" min="8" max="8"/>
  </cols>
  <sheetData>
    <row r="1" ht="28" customHeight="1">
      <c r="A1" s="1" t="inlineStr">
        <is>
          <t>AWS Infrastructure Monthly Cost Estimation - GMZ Task 2</t>
        </is>
      </c>
    </row>
    <row r="2" ht="18" customHeight="1">
      <c r="A2" s="2" t="inlineStr">
        <is>
          <t>Region: eu-north-1 (Stockholm) | Deployment: AWS EKS, RDS PostgreSQL, ELB, Secrets Manager | Currency: USD</t>
        </is>
      </c>
    </row>
    <row r="3"/>
    <row r="4" ht="26" customHeight="1">
      <c r="A4" s="3" t="inlineStr">
        <is>
          <t>Sr. #</t>
        </is>
      </c>
      <c r="B4" s="3" t="inlineStr">
        <is>
          <t>AWS Resource</t>
        </is>
      </c>
      <c r="C4" s="3" t="inlineStr">
        <is>
          <t>Configuration &amp; Sizing</t>
        </is>
      </c>
      <c r="D4" s="3" t="inlineStr">
        <is>
          <t>Quantity / Units</t>
        </is>
      </c>
      <c r="E4" s="3" t="inlineStr">
        <is>
          <t>Hourly Rate ($)</t>
        </is>
      </c>
      <c r="F4" s="3" t="inlineStr">
        <is>
          <t>Monthly Cost ($)</t>
        </is>
      </c>
      <c r="G4" s="3" t="inlineStr">
        <is>
          <t>Free Tier Status</t>
        </is>
      </c>
      <c r="H4" s="3" t="inlineStr">
        <is>
          <t>Remarks &amp; Cost Drivers</t>
        </is>
      </c>
    </row>
    <row r="5" ht="22" customHeight="1">
      <c r="A5" s="4" t="n">
        <v>1</v>
      </c>
      <c r="B5" s="5" t="inlineStr">
        <is>
          <t>AWS EKS Control Plane</t>
        </is>
      </c>
      <c r="C5" s="5" t="inlineStr">
        <is>
          <t>Managed Kubernetes Cluster (v1.31)</t>
        </is>
      </c>
      <c r="D5" s="4" t="inlineStr">
        <is>
          <t>1 Cluster</t>
        </is>
      </c>
      <c r="E5" s="6" t="n">
        <v>0.1</v>
      </c>
      <c r="F5" s="6" t="n">
        <v>73</v>
      </c>
      <c r="G5" s="4" t="inlineStr">
        <is>
          <t>Paid Only</t>
        </is>
      </c>
      <c r="H5" s="5" t="inlineStr">
        <is>
          <t>AWS charges $0.10/hour flat per cluster</t>
        </is>
      </c>
    </row>
    <row r="6" ht="22" customHeight="1">
      <c r="A6" s="7" t="n">
        <v>2</v>
      </c>
      <c r="B6" s="8" t="inlineStr">
        <is>
          <t>EC2 Worker Nodes</t>
        </is>
      </c>
      <c r="C6" s="8" t="inlineStr">
        <is>
          <t>t3.small (2 vCPU, 2 GB RAM, AL2023)</t>
        </is>
      </c>
      <c r="D6" s="7" t="inlineStr">
        <is>
          <t>2 Instances</t>
        </is>
      </c>
      <c r="E6" s="9" t="n">
        <v>0.0232</v>
      </c>
      <c r="F6" s="9" t="n">
        <v>33.87</v>
      </c>
      <c r="G6" s="10" t="inlineStr">
        <is>
          <t>Non-Free Tier</t>
        </is>
      </c>
      <c r="H6" s="8" t="inlineStr">
        <is>
          <t>On-Demand rate ($0.0232/hr * 730 hrs * 2)</t>
        </is>
      </c>
    </row>
    <row r="7" ht="22" customHeight="1">
      <c r="A7" s="4" t="n">
        <v>3</v>
      </c>
      <c r="B7" s="5" t="inlineStr">
        <is>
          <t>EBS Volume Storage</t>
        </is>
      </c>
      <c r="C7" s="5" t="inlineStr">
        <is>
          <t>gp3 SSD Block Storage for Nodes</t>
        </is>
      </c>
      <c r="D7" s="4" t="inlineStr">
        <is>
          <t>2 x 20 GB (40 GB)</t>
        </is>
      </c>
      <c r="E7" s="11" t="n"/>
      <c r="F7" s="6" t="n">
        <v>3.52</v>
      </c>
      <c r="G7" s="10" t="inlineStr">
        <is>
          <t>First 30 GB Free</t>
        </is>
      </c>
      <c r="H7" s="5" t="inlineStr">
        <is>
          <t>Standard gp3 rate ($0.088 per GB-month)</t>
        </is>
      </c>
    </row>
    <row r="8" ht="22" customHeight="1">
      <c r="A8" s="7" t="n">
        <v>4</v>
      </c>
      <c r="B8" s="8" t="inlineStr">
        <is>
          <t>Elastic Load Balancer (ELB)</t>
        </is>
      </c>
      <c r="C8" s="8" t="inlineStr">
        <is>
          <t>Classic / Application Load Balancer</t>
        </is>
      </c>
      <c r="D8" s="7" t="inlineStr">
        <is>
          <t>1 Load Balancer</t>
        </is>
      </c>
      <c r="E8" s="9" t="n">
        <v>0.022</v>
      </c>
      <c r="F8" s="9" t="n">
        <v>17</v>
      </c>
      <c r="G8" s="4" t="inlineStr">
        <is>
          <t>750 hrs first 12m*</t>
        </is>
      </c>
      <c r="H8" s="8" t="inlineStr">
        <is>
          <t>$0.022/hr + minimal data processing (~$1)</t>
        </is>
      </c>
    </row>
    <row r="9" ht="22" customHeight="1">
      <c r="A9" s="4" t="n">
        <v>5</v>
      </c>
      <c r="B9" s="5" t="inlineStr">
        <is>
          <t>AWS RDS PostgreSQL</t>
        </is>
      </c>
      <c r="C9" s="5" t="inlineStr">
        <is>
          <t>db.t3.micro (PostgreSQL 18.3 Engine)</t>
        </is>
      </c>
      <c r="D9" s="4" t="inlineStr">
        <is>
          <t>1 Single-AZ DB</t>
        </is>
      </c>
      <c r="E9" s="6" t="n">
        <v>0.018</v>
      </c>
      <c r="F9" s="6" t="n">
        <v>13.14</v>
      </c>
      <c r="G9" s="10" t="inlineStr">
        <is>
          <t>100% Free (750h/m)</t>
        </is>
      </c>
      <c r="H9" s="5" t="inlineStr">
        <is>
          <t>Free in first 12 months; otherwise $0.018/hr</t>
        </is>
      </c>
    </row>
    <row r="10" ht="22" customHeight="1">
      <c r="A10" s="7" t="n">
        <v>6</v>
      </c>
      <c r="B10" s="8" t="inlineStr">
        <is>
          <t>RDS Storage</t>
        </is>
      </c>
      <c r="C10" s="8" t="inlineStr">
        <is>
          <t>gp3 SSD Dedicated Storage</t>
        </is>
      </c>
      <c r="D10" s="7" t="inlineStr">
        <is>
          <t>20 GB gp3</t>
        </is>
      </c>
      <c r="E10" s="12" t="n"/>
      <c r="F10" s="9" t="n">
        <v>2.3</v>
      </c>
      <c r="G10" s="10" t="inlineStr">
        <is>
          <t>100% Free (20 GB)</t>
        </is>
      </c>
      <c r="H10" s="8" t="inlineStr">
        <is>
          <t>Free in first 12 months (up to 20 GB)</t>
        </is>
      </c>
    </row>
    <row r="11" ht="22" customHeight="1">
      <c r="A11" s="4" t="n">
        <v>7</v>
      </c>
      <c r="B11" s="5" t="inlineStr">
        <is>
          <t>AWS Secrets Manager</t>
        </is>
      </c>
      <c r="C11" s="5" t="inlineStr">
        <is>
          <t>RDS &amp; Docker Hub Secrets</t>
        </is>
      </c>
      <c r="D11" s="4" t="inlineStr">
        <is>
          <t>2 Active Secrets</t>
        </is>
      </c>
      <c r="E11" s="11" t="n"/>
      <c r="F11" s="6" t="n">
        <v>0.8100000000000001</v>
      </c>
      <c r="G11" s="10" t="inlineStr">
        <is>
          <t>30-day Free Trial</t>
        </is>
      </c>
      <c r="H11" s="5" t="inlineStr">
        <is>
          <t>$0.40/secret/month + minimal API calls</t>
        </is>
      </c>
    </row>
    <row r="12" ht="22" customHeight="1">
      <c r="A12" s="7" t="n">
        <v>8</v>
      </c>
      <c r="B12" s="8" t="inlineStr">
        <is>
          <t>AWS Route 53</t>
        </is>
      </c>
      <c r="C12" s="8" t="inlineStr">
        <is>
          <t>Public Hosted Zone (iamzain.space)</t>
        </is>
      </c>
      <c r="D12" s="7" t="inlineStr">
        <is>
          <t>1 Hosted Zone</t>
        </is>
      </c>
      <c r="E12" s="12" t="n"/>
      <c r="F12" s="9" t="n">
        <v>0.55</v>
      </c>
      <c r="G12" s="4" t="inlineStr">
        <is>
          <t>Paid Only</t>
        </is>
      </c>
      <c r="H12" s="8" t="inlineStr">
        <is>
          <t>$0.50/month per hosted zone + DNS queries</t>
        </is>
      </c>
    </row>
    <row r="13" ht="22" customHeight="1">
      <c r="A13" s="4" t="n">
        <v>9</v>
      </c>
      <c r="B13" s="5" t="inlineStr">
        <is>
          <t>VPC, Subnets, IGW &amp; IAM</t>
        </is>
      </c>
      <c r="C13" s="5" t="inlineStr">
        <is>
          <t>Multi-AZ Network &amp; Security Groups</t>
        </is>
      </c>
      <c r="D13" s="4" t="inlineStr">
        <is>
          <t>1 VPC (2 Subnets)</t>
        </is>
      </c>
      <c r="E13" s="6" t="n">
        <v>0</v>
      </c>
      <c r="F13" s="6" t="n">
        <v>0</v>
      </c>
      <c r="G13" s="10" t="inlineStr">
        <is>
          <t>100% Free</t>
        </is>
      </c>
      <c r="H13" s="5" t="inlineStr">
        <is>
          <t>Public subnets with IGW avoid $32/m NAT Gateway</t>
        </is>
      </c>
    </row>
    <row r="14" ht="26" customHeight="1">
      <c r="A14" s="13" t="inlineStr">
        <is>
          <t>TOTAL ESTIMATED MONTHLY COST (USD):</t>
        </is>
      </c>
      <c r="B14" s="14" t="n"/>
      <c r="C14" s="14" t="n"/>
      <c r="D14" s="14" t="n"/>
      <c r="E14" s="14" t="n"/>
      <c r="F14" s="15">
        <f>SUM(F5:F13)</f>
        <v/>
      </c>
      <c r="G14" s="14" t="n"/>
      <c r="H14" s="14" t="n"/>
    </row>
    <row r="15" ht="22" customHeight="1">
      <c r="A15" s="11" t="inlineStr">
        <is>
          <t>Estimated Daily Burn Rate:</t>
        </is>
      </c>
      <c r="B15" s="16" t="n"/>
      <c r="C15" s="16" t="n"/>
      <c r="D15" s="16" t="n"/>
      <c r="E15" s="16" t="n"/>
      <c r="F15" s="17">
        <f>F14/30</f>
        <v/>
      </c>
      <c r="G15" s="16" t="n"/>
      <c r="H15" s="16" t="n"/>
    </row>
  </sheetData>
  <mergeCells count="4">
    <mergeCell ref="A15:E15"/>
    <mergeCell ref="A2:G2"/>
    <mergeCell ref="A1:G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8" t="inlineStr">
        <is>
          <t>DevOps &amp; FinOps Best Practices for Cost Savings</t>
        </is>
      </c>
    </row>
    <row r="2"/>
    <row r="3" ht="24" customHeight="1">
      <c r="A3" s="19" t="inlineStr">
        <is>
          <t>Strategy / Technique</t>
        </is>
      </c>
      <c r="B3" s="19" t="inlineStr">
        <is>
          <t>Description &amp; Impact</t>
        </is>
      </c>
    </row>
    <row r="4" ht="36" customHeight="1">
      <c r="A4" s="20" t="inlineStr">
        <is>
          <t>1. On-Demand Destruction (IaC Advantage)</t>
        </is>
      </c>
      <c r="B4" s="21" t="inlineStr">
        <is>
          <t>Chunki poora infrastructure Terraform se automate hai, testing/demo ke baad 'terraform destroy -auto-approve' chala kar bill 100% band ($0) kiya ja sakta hai. Dobara zaroorat padne par sirf 10 minute me 'terraform apply' se sab recreate ho jata hai.</t>
        </is>
      </c>
    </row>
    <row r="5" ht="36" customHeight="1">
      <c r="A5" s="20" t="inlineStr">
        <is>
          <t>2. Public Subnet Architecture (Saved $65/mo)</t>
        </is>
      </c>
      <c r="B5" s="21" t="inlineStr">
        <is>
          <t>Hamare architecture me worker nodes direct Public Subnets + Internet Gateway par hain. Industry me log aam tor par 2 NAT Gateways lagate hain jo $65/month faltu charge karte hain. Humne ye $65/month shuru se hi bacha liye.</t>
        </is>
      </c>
    </row>
    <row r="6" ht="36" customHeight="1">
      <c r="A6" s="20" t="inlineStr">
        <is>
          <t>3. AWS Free Tier Utilization</t>
        </is>
      </c>
      <c r="B6" s="21" t="inlineStr">
        <is>
          <t>Naye AWS account me RDS PostgreSQL (750 hours/month) aur 20GB storage pehle 12 mahine bilkul muft ($0) milti hai.</t>
        </is>
      </c>
    </row>
    <row r="7" ht="36" customHeight="1">
      <c r="A7" s="20" t="inlineStr">
        <is>
          <t>4. AWS Budgets &amp; Alerts</t>
        </is>
      </c>
      <c r="B7" s="21" t="inlineStr">
        <is>
          <t>AWS Billing Console me $20 ya $50 ka Budget Alert laga dein taake agar koi unauthorized resource run ho toh foran email notification mil jaye.</t>
        </is>
      </c>
    </row>
    <row r="8" ht="36" customHeight="1">
      <c r="A8" s="20" t="inlineStr">
        <is>
          <t>5. Spot Instances for Worker Nodes</t>
        </is>
      </c>
      <c r="B8" s="21" t="inlineStr">
        <is>
          <t>Agar hum EC2 worker nodes ko 'SPOT' capacity type par switch karein, toh EC2 cost 70% kam ho kar sirf ~$10/month reh jati hai.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2026-10-26T11:53:40Z</dcterms:created>
  <dcterms:modified xsi:type="dcterms:W3CDTF">2026-10-26T11:53:40Z</dcterms:modified>
</cp:coreProperties>
</file>